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eulking/Downloads/KX_프로젝트B_자료/"/>
    </mc:Choice>
  </mc:AlternateContent>
  <xr:revisionPtr revIDLastSave="0" documentId="13_ncr:1_{F1CDABCC-B3EC-D64B-851C-352E9D8DB635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예상비용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E24" i="1"/>
  <c r="F24" i="1" s="1"/>
  <c r="E23" i="1"/>
  <c r="F23" i="1" s="1"/>
  <c r="E22" i="1"/>
  <c r="F22" i="1" s="1"/>
  <c r="F25" i="1" s="1"/>
  <c r="D18" i="1"/>
  <c r="D11" i="1"/>
  <c r="C36" i="1" s="1"/>
  <c r="C38" i="1" l="1"/>
  <c r="D38" i="1" s="1"/>
  <c r="D36" i="1"/>
  <c r="E36" i="1" s="1"/>
  <c r="C40" i="1" l="1"/>
  <c r="E38" i="1"/>
  <c r="D40" i="1" s="1"/>
</calcChain>
</file>

<file path=xl/sharedStrings.xml><?xml version="1.0" encoding="utf-8"?>
<sst xmlns="http://schemas.openxmlformats.org/spreadsheetml/2006/main" count="84" uniqueCount="74">
  <si>
    <t>A2팀 KX GenStudio — API 예상 비용 산정표</t>
  </si>
  <si>
    <t>작성일: 2026-06-25  |  작성자: 이슬기 (A2팀 PM)  |  단위: USD</t>
  </si>
  <si>
    <t>환율 (KRW/USD)</t>
  </si>
  <si>
    <t>← 이 셀만 수정하면 원화 환산 자동 반영</t>
  </si>
  <si>
    <t>① 고정 구독 · 도구</t>
  </si>
  <si>
    <t>항목</t>
  </si>
  <si>
    <t>월 단가 ($)</t>
  </si>
  <si>
    <t>수량 / 기간</t>
  </si>
  <si>
    <t>소계 ($)</t>
  </si>
  <si>
    <t>비고</t>
  </si>
  <si>
    <t>Figma Professional</t>
  </si>
  <si>
    <t>2명 × 1개월</t>
  </si>
  <si>
    <t>UX/UI 2인 전용 플랜</t>
  </si>
  <si>
    <t>Vercel Pro</t>
  </si>
  <si>
    <t>1개월</t>
  </si>
  <si>
    <t>팀 배포 환경</t>
  </si>
  <si>
    <t>Supabase Pro</t>
  </si>
  <si>
    <t>이미지+영상 저장 (Free 1GB 초과 예상)</t>
  </si>
  <si>
    <t>소계 ①</t>
  </si>
  <si>
    <t>② 이미지 생성 API</t>
  </si>
  <si>
    <t>단가 ($/장)</t>
  </si>
  <si>
    <t>수량 (장)</t>
  </si>
  <si>
    <t>용도</t>
  </si>
  <si>
    <t>Gemini 2.5 Flash — 개발 테스트용</t>
  </si>
  <si>
    <t>개발 중 빠른 이미지 테스트</t>
  </si>
  <si>
    <t>GPT Image 2 high — 단일 이미지</t>
  </si>
  <si>
    <t>F001 단일 이미지 (테스트+데모)</t>
  </si>
  <si>
    <t>GPT Image 2 high — 그리드(9컷)</t>
  </si>
  <si>
    <t>F002 스토리보드 그리드 (필수)</t>
  </si>
  <si>
    <t>소계 ②</t>
  </si>
  <si>
    <t>③ 영상 생성 API  (1세트 = 9클립)</t>
  </si>
  <si>
    <t>단가 ($/초)</t>
  </si>
  <si>
    <t>세트 수</t>
  </si>
  <si>
    <t>초/세트</t>
  </si>
  <si>
    <t>총 초</t>
  </si>
  <si>
    <t>fal.ai Kling — 개발 테스트 (5초/클립)</t>
  </si>
  <si>
    <t>개발 테스트 8회 (주 2회 × 4주)</t>
  </si>
  <si>
    <t>fal.ai Seedance — 중간점검 (5초/클립)</t>
  </si>
  <si>
    <t>2주차 중간점검 데모</t>
  </si>
  <si>
    <t>fal.ai Seedance — 최종 데모 (10초/클립)</t>
  </si>
  <si>
    <t>4주차 최종 발표 (2세트)</t>
  </si>
  <si>
    <t>소계 ③</t>
  </si>
  <si>
    <t xml:space="preserve">  ★ fal.ai Hard Limit 권장: $120 설정 (Billing &gt; Spend Limit — 비용 폭탄 방지)</t>
  </si>
  <si>
    <t>④ Claude Sonnet API  (토큰 기반)</t>
  </si>
  <si>
    <t>호출 횟수</t>
  </si>
  <si>
    <t>입력 토큰/회</t>
  </si>
  <si>
    <t>출력 토큰/회</t>
  </si>
  <si>
    <t>입력 단가($/1M)</t>
  </si>
  <si>
    <t>출력 단가($/1M)</t>
  </si>
  <si>
    <t>Claude Sonnet — 프롬프트 보조 (F001·F002)</t>
  </si>
  <si>
    <t>이미지 프롬프트 생성 보조</t>
  </si>
  <si>
    <t>Claude Sonnet — 역프롬프트 (F004, S등급)</t>
  </si>
  <si>
    <t>역프롬프트 분석 (S등급 옵션)</t>
  </si>
  <si>
    <t>소계 ④</t>
  </si>
  <si>
    <t>⑤ 등급별 예산 요약  (×1.5 여유 포함)</t>
  </si>
  <si>
    <t>구분</t>
  </si>
  <si>
    <t>포함 항목</t>
  </si>
  <si>
    <t>순 비용 ($)</t>
  </si>
  <si>
    <t>×1.5 버퍼 ($)</t>
  </si>
  <si>
    <t>원화 환산 (원)</t>
  </si>
  <si>
    <t>공통 필수
(Pass→A등급)</t>
  </si>
  <si>
    <t>① 고정구독 + ② 이미지 API
+ ③ 영상(Kling테스트) + ④ 프롬프트 보조</t>
  </si>
  <si>
    <t>영상+이미지 통합 완성 + 라이브러리 + 배포</t>
  </si>
  <si>
    <t>S등급 (권장)</t>
  </si>
  <si>
    <t>공통 필수 전체
+ ④ 역프롬프트 (F004)</t>
  </si>
  <si>
    <t>역프롬프트 재생성 루프 포함 (S001~S004)</t>
  </si>
  <si>
    <t>★ 최종 신청 권장 (S등급 기준)</t>
  </si>
  <si>
    <t>→ 매니저 전달 신청 금액</t>
  </si>
  <si>
    <t>⑥ 비용 절감 수칙 (참고)</t>
  </si>
  <si>
    <t xml:space="preserve">  ① 개발 테스트는 Kling + Gemini Flash (저가) 우선 — 데모·점검만 Seedance + GPT Image 2 사용</t>
  </si>
  <si>
    <t xml:space="preserve">  ② Claude 프롬프트는 간결하게 유지 — 불필요한 토큰 절감</t>
  </si>
  <si>
    <t xml:space="preserve">  ③ fal.ai Hard Limit $120 설정 필수 — 대시보드 &gt; Billing &gt; Spend limit</t>
  </si>
  <si>
    <t xml:space="preserve">  ④ 영상 5~10초 이내 유지 — 초당 과금이므로 길수록 비용 급증</t>
  </si>
  <si>
    <t xml:space="preserve">  ⑤ 주 1회 이상 각 API 대시보드 사용량 확인 (OpenAI / fal.ai / Anthropic console)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</si>
</sst>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&quot;원&quot;"/>
    <numFmt numFmtId="177" formatCode="&quot;$&quot;#,##0.00"/>
    <numFmt numFmtId="178" formatCode="&quot;$&quot;0.000"/>
    <numFmt numFmtId="179" formatCode="&quot;$&quot;0.00"/>
    <numFmt numFmtId="180" formatCode="#,##0&quot;초&quot;"/>
  </numFmts>
  <fonts count="12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2"/>
      <charset val="129"/>
    </font>
    <font>
      <sz val="9"/>
      <color rgb="FF555555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9"/>
      <color rgb="FF88888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9"/>
      <color rgb="FFC0392B"/>
      <name val="맑은 고딕"/>
      <family val="2"/>
      <charset val="129"/>
    </font>
    <font>
      <sz val="9"/>
      <color rgb="FF000000"/>
      <name val="맑은 고딕"/>
      <family val="2"/>
      <charset val="129"/>
    </font>
    <font>
      <b/>
      <sz val="10"/>
      <color rgb="FFFF6B35"/>
      <name val="맑은 고딕"/>
      <family val="2"/>
      <charset val="129"/>
    </font>
    <font>
      <sz val="9"/>
      <color rgb="FF2C3E5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A3557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D6A9F"/>
      </patternFill>
    </fill>
    <fill>
      <patternFill patternType="solid">
        <fgColor rgb="FFEBF4FB"/>
      </patternFill>
    </fill>
    <fill>
      <patternFill patternType="solid">
        <fgColor rgb="FFFFF3CD"/>
      </patternFill>
    </fill>
    <fill>
      <patternFill patternType="solid">
        <fgColor rgb="FFFDECEA"/>
      </patternFill>
    </fill>
    <fill>
      <patternFill patternType="solid">
        <fgColor rgb="FFD4EDDA"/>
      </patternFill>
    </fill>
    <fill>
      <patternFill patternType="solid">
        <fgColor rgb="FFCCE5FF"/>
      </patternFill>
    </fill>
    <fill>
      <patternFill patternType="solid">
        <fgColor rgb="FFFF6B35"/>
      </patternFill>
    </fill>
    <fill>
      <patternFill patternType="solid">
        <fgColor rgb="FFFFF5F2"/>
      </patternFill>
    </fill>
    <fill>
      <patternFill patternType="solid">
        <fgColor rgb="FF5D6D7E"/>
      </patternFill>
    </fill>
    <fill>
      <patternFill patternType="solid">
        <fgColor rgb="FFF4F6F7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5">
    <xf numFmtId="0" fontId="0" fillId="0" borderId="0" xfId="0"/>
    <xf numFmtId="176" fontId="3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77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7" fontId="3" fillId="7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80" fontId="6" fillId="6" borderId="1" xfId="0" applyNumberFormat="1" applyFont="1" applyFill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177" fontId="3" fillId="9" borderId="1" xfId="0" applyNumberFormat="1" applyFont="1" applyFill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177" fontId="3" fillId="10" borderId="1" xfId="0" applyNumberFormat="1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177" fontId="5" fillId="11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0" fillId="0" borderId="3" xfId="0" applyBorder="1"/>
    <xf numFmtId="0" fontId="3" fillId="7" borderId="1" xfId="0" applyFont="1" applyFill="1" applyBorder="1" applyAlignment="1">
      <alignment horizontal="right" vertical="center"/>
    </xf>
    <xf numFmtId="0" fontId="0" fillId="0" borderId="2" xfId="0" applyBorder="1"/>
    <xf numFmtId="0" fontId="6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/>
    </xf>
    <xf numFmtId="176" fontId="5" fillId="11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showGridLines="0" tabSelected="1" workbookViewId="0">
      <pane ySplit="2" topLeftCell="A3" activePane="bottomLeft" state="frozen"/>
      <selection pane="bottomLeft" activeCell="D40" sqref="D40:E40"/>
    </sheetView>
  </sheetViews>
  <sheetFormatPr baseColWidth="10" defaultColWidth="8.83203125" defaultRowHeight="17"/>
  <cols>
    <col min="1" max="1" width="38" customWidth="1"/>
    <col min="2" max="2" width="28.1640625" customWidth="1"/>
    <col min="3" max="4" width="16" customWidth="1"/>
    <col min="5" max="6" width="14" customWidth="1"/>
    <col min="7" max="8" width="16" customWidth="1"/>
    <col min="9" max="9" width="18" customWidth="1"/>
  </cols>
  <sheetData>
    <row r="1" spans="1:9" ht="30" customHeight="1">
      <c r="A1" s="32" t="s">
        <v>0</v>
      </c>
      <c r="B1" s="30"/>
      <c r="C1" s="30"/>
      <c r="D1" s="30"/>
      <c r="E1" s="30"/>
      <c r="F1" s="30"/>
      <c r="G1" s="30"/>
      <c r="H1" s="30"/>
      <c r="I1" s="28"/>
    </row>
    <row r="2" spans="1:9" ht="16" customHeight="1">
      <c r="A2" s="35" t="s">
        <v>1</v>
      </c>
      <c r="B2" s="30"/>
      <c r="C2" s="30"/>
      <c r="D2" s="30"/>
      <c r="E2" s="30"/>
      <c r="F2" s="30"/>
      <c r="G2" s="30"/>
      <c r="H2" s="30"/>
      <c r="I2" s="28"/>
    </row>
    <row r="3" spans="1:9" ht="8" customHeight="1"/>
    <row r="4" spans="1:9" ht="20" customHeight="1">
      <c r="A4" s="27" t="s">
        <v>2</v>
      </c>
      <c r="B4" s="28"/>
      <c r="C4" s="1">
        <v>1550</v>
      </c>
      <c r="D4" s="34" t="s">
        <v>3</v>
      </c>
      <c r="E4" s="30"/>
      <c r="F4" s="30"/>
      <c r="G4" s="28"/>
    </row>
    <row r="5" spans="1:9" ht="8" customHeight="1"/>
    <row r="6" spans="1:9" ht="20" customHeight="1">
      <c r="A6" s="33" t="s">
        <v>4</v>
      </c>
      <c r="B6" s="30"/>
      <c r="C6" s="30"/>
      <c r="D6" s="30"/>
      <c r="E6" s="30"/>
      <c r="F6" s="30"/>
      <c r="G6" s="30"/>
      <c r="H6" s="30"/>
      <c r="I6" s="28"/>
    </row>
    <row r="7" spans="1:9" ht="18" customHeight="1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/>
      <c r="G7" s="2"/>
      <c r="H7" s="2"/>
      <c r="I7" s="2"/>
    </row>
    <row r="8" spans="1:9">
      <c r="A8" s="3" t="s">
        <v>10</v>
      </c>
      <c r="B8" s="4">
        <v>20</v>
      </c>
      <c r="C8" s="5" t="s">
        <v>11</v>
      </c>
      <c r="D8" s="4">
        <v>40</v>
      </c>
      <c r="E8" s="38" t="s">
        <v>12</v>
      </c>
      <c r="F8" s="30"/>
      <c r="G8" s="30"/>
      <c r="H8" s="30"/>
      <c r="I8" s="28"/>
    </row>
    <row r="9" spans="1:9">
      <c r="A9" s="6" t="s">
        <v>13</v>
      </c>
      <c r="B9" s="7">
        <v>20</v>
      </c>
      <c r="C9" s="8" t="s">
        <v>14</v>
      </c>
      <c r="D9" s="7">
        <v>20</v>
      </c>
      <c r="E9" s="31" t="s">
        <v>15</v>
      </c>
      <c r="F9" s="30"/>
      <c r="G9" s="30"/>
      <c r="H9" s="30"/>
      <c r="I9" s="28"/>
    </row>
    <row r="10" spans="1:9">
      <c r="A10" s="3" t="s">
        <v>16</v>
      </c>
      <c r="B10" s="4">
        <v>25</v>
      </c>
      <c r="C10" s="5" t="s">
        <v>14</v>
      </c>
      <c r="D10" s="4">
        <v>25</v>
      </c>
      <c r="E10" s="38" t="s">
        <v>17</v>
      </c>
      <c r="F10" s="30"/>
      <c r="G10" s="30"/>
      <c r="H10" s="30"/>
      <c r="I10" s="28"/>
    </row>
    <row r="11" spans="1:9">
      <c r="A11" s="29" t="s">
        <v>18</v>
      </c>
      <c r="B11" s="30"/>
      <c r="C11" s="28"/>
      <c r="D11" s="9">
        <f>SUM(D8:D10)</f>
        <v>85</v>
      </c>
    </row>
    <row r="13" spans="1:9" ht="20" customHeight="1">
      <c r="A13" s="33" t="s">
        <v>19</v>
      </c>
      <c r="B13" s="30"/>
      <c r="C13" s="30"/>
      <c r="D13" s="30"/>
      <c r="E13" s="30"/>
      <c r="F13" s="30"/>
      <c r="G13" s="30"/>
      <c r="H13" s="30"/>
      <c r="I13" s="28"/>
    </row>
    <row r="14" spans="1:9" ht="18" customHeight="1">
      <c r="A14" s="2" t="s">
        <v>5</v>
      </c>
      <c r="B14" s="2" t="s">
        <v>20</v>
      </c>
      <c r="C14" s="2" t="s">
        <v>21</v>
      </c>
      <c r="D14" s="2" t="s">
        <v>8</v>
      </c>
      <c r="E14" s="2" t="s">
        <v>22</v>
      </c>
      <c r="F14" s="2"/>
      <c r="G14" s="2"/>
      <c r="H14" s="2"/>
      <c r="I14" s="2"/>
    </row>
    <row r="15" spans="1:9">
      <c r="A15" s="3" t="s">
        <v>23</v>
      </c>
      <c r="B15" s="10">
        <v>3.9E-2</v>
      </c>
      <c r="C15" s="11">
        <v>240</v>
      </c>
      <c r="D15" s="4">
        <v>9.36</v>
      </c>
      <c r="E15" s="38" t="s">
        <v>24</v>
      </c>
      <c r="F15" s="30"/>
      <c r="G15" s="30"/>
      <c r="H15" s="30"/>
      <c r="I15" s="28"/>
    </row>
    <row r="16" spans="1:9">
      <c r="A16" s="6" t="s">
        <v>25</v>
      </c>
      <c r="B16" s="12">
        <v>0.16700000000000001</v>
      </c>
      <c r="C16" s="13">
        <v>60</v>
      </c>
      <c r="D16" s="7">
        <v>10.02</v>
      </c>
      <c r="E16" s="31" t="s">
        <v>26</v>
      </c>
      <c r="F16" s="30"/>
      <c r="G16" s="30"/>
      <c r="H16" s="30"/>
      <c r="I16" s="28"/>
    </row>
    <row r="17" spans="1:9">
      <c r="A17" s="3" t="s">
        <v>27</v>
      </c>
      <c r="B17" s="10">
        <v>0.2</v>
      </c>
      <c r="C17" s="11">
        <v>65</v>
      </c>
      <c r="D17" s="4">
        <v>13</v>
      </c>
      <c r="E17" s="38" t="s">
        <v>28</v>
      </c>
      <c r="F17" s="30"/>
      <c r="G17" s="30"/>
      <c r="H17" s="30"/>
      <c r="I17" s="28"/>
    </row>
    <row r="18" spans="1:9">
      <c r="A18" s="29" t="s">
        <v>29</v>
      </c>
      <c r="B18" s="30"/>
      <c r="C18" s="28"/>
      <c r="D18" s="9">
        <f>SUM(D15:D17)</f>
        <v>32.379999999999995</v>
      </c>
    </row>
    <row r="20" spans="1:9" ht="20" customHeight="1">
      <c r="A20" s="33" t="s">
        <v>30</v>
      </c>
      <c r="B20" s="30"/>
      <c r="C20" s="30"/>
      <c r="D20" s="30"/>
      <c r="E20" s="30"/>
      <c r="F20" s="30"/>
      <c r="G20" s="30"/>
      <c r="H20" s="30"/>
      <c r="I20" s="28"/>
    </row>
    <row r="21" spans="1:9" ht="18" customHeight="1">
      <c r="A21" s="2" t="s">
        <v>5</v>
      </c>
      <c r="B21" s="2" t="s">
        <v>31</v>
      </c>
      <c r="C21" s="2" t="s">
        <v>32</v>
      </c>
      <c r="D21" s="2" t="s">
        <v>33</v>
      </c>
      <c r="E21" s="2" t="s">
        <v>34</v>
      </c>
      <c r="F21" s="2" t="s">
        <v>8</v>
      </c>
      <c r="G21" s="2" t="s">
        <v>9</v>
      </c>
      <c r="H21" s="2"/>
      <c r="I21" s="2"/>
    </row>
    <row r="22" spans="1:9">
      <c r="A22" s="3" t="s">
        <v>35</v>
      </c>
      <c r="B22" s="14">
        <v>0.11</v>
      </c>
      <c r="C22" s="5">
        <v>8</v>
      </c>
      <c r="D22" s="5">
        <v>45</v>
      </c>
      <c r="E22" s="15">
        <f>C22*D22</f>
        <v>360</v>
      </c>
      <c r="F22" s="4">
        <f>B22*E22</f>
        <v>39.6</v>
      </c>
      <c r="G22" s="38" t="s">
        <v>36</v>
      </c>
      <c r="H22" s="30"/>
      <c r="I22" s="28"/>
    </row>
    <row r="23" spans="1:9">
      <c r="A23" s="6" t="s">
        <v>37</v>
      </c>
      <c r="B23" s="16">
        <v>0.3</v>
      </c>
      <c r="C23" s="8">
        <v>1</v>
      </c>
      <c r="D23" s="8">
        <v>45</v>
      </c>
      <c r="E23" s="17">
        <f>C23*D23</f>
        <v>45</v>
      </c>
      <c r="F23" s="7">
        <f>B23*E23</f>
        <v>13.5</v>
      </c>
      <c r="G23" s="31" t="s">
        <v>38</v>
      </c>
      <c r="H23" s="30"/>
      <c r="I23" s="28"/>
    </row>
    <row r="24" spans="1:9">
      <c r="A24" s="3" t="s">
        <v>39</v>
      </c>
      <c r="B24" s="14">
        <v>0.3</v>
      </c>
      <c r="C24" s="5">
        <v>2</v>
      </c>
      <c r="D24" s="5">
        <v>90</v>
      </c>
      <c r="E24" s="15">
        <f>C24*D24</f>
        <v>180</v>
      </c>
      <c r="F24" s="4">
        <f>B24*E24</f>
        <v>54</v>
      </c>
      <c r="G24" s="38" t="s">
        <v>40</v>
      </c>
      <c r="H24" s="30"/>
      <c r="I24" s="28"/>
    </row>
    <row r="25" spans="1:9">
      <c r="A25" s="29" t="s">
        <v>41</v>
      </c>
      <c r="B25" s="30"/>
      <c r="C25" s="30"/>
      <c r="D25" s="30"/>
      <c r="E25" s="28"/>
      <c r="F25" s="9">
        <f>SUM(F22:F24)</f>
        <v>107.1</v>
      </c>
    </row>
    <row r="26" spans="1:9" ht="16" customHeight="1">
      <c r="A26" s="41" t="s">
        <v>42</v>
      </c>
      <c r="B26" s="30"/>
      <c r="C26" s="30"/>
      <c r="D26" s="30"/>
      <c r="E26" s="30"/>
      <c r="F26" s="30"/>
      <c r="G26" s="30"/>
      <c r="H26" s="30"/>
      <c r="I26" s="28"/>
    </row>
    <row r="28" spans="1:9" ht="20" customHeight="1">
      <c r="A28" s="33" t="s">
        <v>43</v>
      </c>
      <c r="B28" s="30"/>
      <c r="C28" s="30"/>
      <c r="D28" s="30"/>
      <c r="E28" s="30"/>
      <c r="F28" s="30"/>
      <c r="G28" s="30"/>
      <c r="H28" s="30"/>
      <c r="I28" s="28"/>
    </row>
    <row r="29" spans="1:9" ht="18" customHeight="1">
      <c r="A29" s="2" t="s">
        <v>5</v>
      </c>
      <c r="B29" s="2" t="s">
        <v>44</v>
      </c>
      <c r="C29" s="2" t="s">
        <v>45</v>
      </c>
      <c r="D29" s="2" t="s">
        <v>46</v>
      </c>
      <c r="E29" s="2" t="s">
        <v>47</v>
      </c>
      <c r="F29" s="2" t="s">
        <v>48</v>
      </c>
      <c r="G29" s="2" t="s">
        <v>8</v>
      </c>
      <c r="H29" s="2" t="s">
        <v>9</v>
      </c>
      <c r="I29" s="2"/>
    </row>
    <row r="30" spans="1:9">
      <c r="A30" s="3" t="s">
        <v>49</v>
      </c>
      <c r="B30" s="11">
        <v>350</v>
      </c>
      <c r="C30" s="11">
        <v>2000</v>
      </c>
      <c r="D30" s="11">
        <v>600</v>
      </c>
      <c r="E30" s="14">
        <v>3</v>
      </c>
      <c r="F30" s="14">
        <v>15</v>
      </c>
      <c r="G30" s="4">
        <f>B30*(C30*E30+D30*F30)/1000000</f>
        <v>5.25</v>
      </c>
      <c r="H30" s="38" t="s">
        <v>50</v>
      </c>
      <c r="I30" s="28"/>
    </row>
    <row r="31" spans="1:9">
      <c r="A31" s="6" t="s">
        <v>51</v>
      </c>
      <c r="B31" s="13">
        <v>150</v>
      </c>
      <c r="C31" s="13">
        <v>2500</v>
      </c>
      <c r="D31" s="13">
        <v>800</v>
      </c>
      <c r="E31" s="16">
        <v>3</v>
      </c>
      <c r="F31" s="16">
        <v>15</v>
      </c>
      <c r="G31" s="7">
        <f>B31*(C31*E31+D31*F31)/1000000</f>
        <v>2.9249999999999998</v>
      </c>
      <c r="H31" s="31" t="s">
        <v>52</v>
      </c>
      <c r="I31" s="28"/>
    </row>
    <row r="32" spans="1:9">
      <c r="A32" s="29" t="s">
        <v>53</v>
      </c>
      <c r="B32" s="30"/>
      <c r="C32" s="30"/>
      <c r="D32" s="30"/>
      <c r="E32" s="30"/>
      <c r="F32" s="28"/>
      <c r="G32" s="9">
        <f>SUM(G30:G31)</f>
        <v>8.1750000000000007</v>
      </c>
    </row>
    <row r="34" spans="1:9" ht="20" customHeight="1">
      <c r="A34" s="33" t="s">
        <v>54</v>
      </c>
      <c r="B34" s="30"/>
      <c r="C34" s="30"/>
      <c r="D34" s="30"/>
      <c r="E34" s="30"/>
      <c r="F34" s="30"/>
      <c r="G34" s="30"/>
      <c r="H34" s="30"/>
      <c r="I34" s="28"/>
    </row>
    <row r="35" spans="1:9" ht="18" customHeight="1">
      <c r="A35" s="2" t="s">
        <v>55</v>
      </c>
      <c r="B35" s="2" t="s">
        <v>56</v>
      </c>
      <c r="C35" s="2" t="s">
        <v>57</v>
      </c>
      <c r="D35" s="2" t="s">
        <v>58</v>
      </c>
      <c r="E35" s="2" t="s">
        <v>59</v>
      </c>
      <c r="F35" s="2" t="s">
        <v>9</v>
      </c>
      <c r="G35" s="2"/>
      <c r="H35" s="2"/>
      <c r="I35" s="2"/>
    </row>
    <row r="36" spans="1:9" ht="42" customHeight="1">
      <c r="A36" s="18" t="s">
        <v>60</v>
      </c>
      <c r="B36" s="19" t="s">
        <v>61</v>
      </c>
      <c r="C36" s="20">
        <f>D11+D18+F25+G30</f>
        <v>229.73</v>
      </c>
      <c r="D36" s="20">
        <f>C36*1.5</f>
        <v>344.59499999999997</v>
      </c>
      <c r="E36" s="21">
        <f>D36*C4</f>
        <v>534122.25</v>
      </c>
      <c r="F36" s="42" t="s">
        <v>62</v>
      </c>
      <c r="G36" s="30"/>
      <c r="H36" s="30"/>
      <c r="I36" s="28"/>
    </row>
    <row r="38" spans="1:9" ht="32" customHeight="1">
      <c r="A38" s="22" t="s">
        <v>63</v>
      </c>
      <c r="B38" s="23" t="s">
        <v>64</v>
      </c>
      <c r="C38" s="24">
        <f>C36+G31</f>
        <v>232.655</v>
      </c>
      <c r="D38" s="24">
        <f>C38*1.5</f>
        <v>348.98250000000002</v>
      </c>
      <c r="E38" s="25">
        <f>D38*C4</f>
        <v>540922.875</v>
      </c>
      <c r="F38" s="43" t="s">
        <v>65</v>
      </c>
      <c r="G38" s="30"/>
      <c r="H38" s="30"/>
      <c r="I38" s="28"/>
    </row>
    <row r="40" spans="1:9" ht="26" customHeight="1">
      <c r="A40" s="44" t="s">
        <v>66</v>
      </c>
      <c r="B40" s="28"/>
      <c r="C40" s="26">
        <f>D38</f>
        <v>348.98250000000002</v>
      </c>
      <c r="D40" s="40">
        <f>E38</f>
        <v>540922.875</v>
      </c>
      <c r="E40" s="28"/>
      <c r="F40" s="39" t="s">
        <v>67</v>
      </c>
      <c r="G40" s="30"/>
      <c r="H40" s="30"/>
      <c r="I40" s="28"/>
    </row>
    <row r="42" spans="1:9" ht="20" customHeight="1">
      <c r="A42" s="37" t="s">
        <v>68</v>
      </c>
      <c r="B42" s="30"/>
      <c r="C42" s="30"/>
      <c r="D42" s="30"/>
      <c r="E42" s="30"/>
      <c r="F42" s="30"/>
      <c r="G42" s="30"/>
      <c r="H42" s="30"/>
      <c r="I42" s="28"/>
    </row>
    <row r="43" spans="1:9" ht="16" customHeight="1">
      <c r="A43" s="36" t="s">
        <v>69</v>
      </c>
      <c r="B43" s="30"/>
      <c r="C43" s="30"/>
      <c r="D43" s="30"/>
      <c r="E43" s="30"/>
      <c r="F43" s="30"/>
      <c r="G43" s="30"/>
      <c r="H43" s="30"/>
      <c r="I43" s="28"/>
    </row>
    <row r="44" spans="1:9" ht="16" customHeight="1">
      <c r="A44" s="36" t="s">
        <v>70</v>
      </c>
      <c r="B44" s="30"/>
      <c r="C44" s="30"/>
      <c r="D44" s="30"/>
      <c r="E44" s="30"/>
      <c r="F44" s="30"/>
      <c r="G44" s="30"/>
      <c r="H44" s="30"/>
      <c r="I44" s="28"/>
    </row>
    <row r="45" spans="1:9" ht="16" customHeight="1">
      <c r="A45" s="36" t="s">
        <v>71</v>
      </c>
      <c r="B45" s="30"/>
      <c r="C45" s="30"/>
      <c r="D45" s="30"/>
      <c r="E45" s="30"/>
      <c r="F45" s="30"/>
      <c r="G45" s="30"/>
      <c r="H45" s="30"/>
      <c r="I45" s="28"/>
    </row>
    <row r="46" spans="1:9" ht="16" customHeight="1">
      <c r="A46" s="36" t="s">
        <v>72</v>
      </c>
      <c r="B46" s="30"/>
      <c r="C46" s="30"/>
      <c r="D46" s="30"/>
      <c r="E46" s="30"/>
      <c r="F46" s="30"/>
      <c r="G46" s="30"/>
      <c r="H46" s="30"/>
      <c r="I46" s="28"/>
    </row>
    <row r="47" spans="1:9" ht="16" customHeight="1">
      <c r="A47" s="36" t="s">
        <v>73</v>
      </c>
      <c r="B47" s="30"/>
      <c r="C47" s="30"/>
      <c r="D47" s="30"/>
      <c r="E47" s="30"/>
      <c r="F47" s="30"/>
      <c r="G47" s="30"/>
      <c r="H47" s="30"/>
      <c r="I47" s="28"/>
    </row>
  </sheetData>
  <mergeCells count="36">
    <mergeCell ref="A45:I45"/>
    <mergeCell ref="F38:I38"/>
    <mergeCell ref="A40:B40"/>
    <mergeCell ref="H30:I30"/>
    <mergeCell ref="D40:E40"/>
    <mergeCell ref="H31:I31"/>
    <mergeCell ref="E8:I8"/>
    <mergeCell ref="A26:I26"/>
    <mergeCell ref="E17:I17"/>
    <mergeCell ref="G24:I24"/>
    <mergeCell ref="F36:I36"/>
    <mergeCell ref="A47:I47"/>
    <mergeCell ref="A42:I42"/>
    <mergeCell ref="A25:E25"/>
    <mergeCell ref="E10:I10"/>
    <mergeCell ref="A32:F32"/>
    <mergeCell ref="A20:I20"/>
    <mergeCell ref="A43:I43"/>
    <mergeCell ref="F40:I40"/>
    <mergeCell ref="E15:I15"/>
    <mergeCell ref="G22:I22"/>
    <mergeCell ref="A28:I28"/>
    <mergeCell ref="A13:I13"/>
    <mergeCell ref="A44:I44"/>
    <mergeCell ref="A34:I34"/>
    <mergeCell ref="A46:I46"/>
    <mergeCell ref="A18:C18"/>
    <mergeCell ref="A4:B4"/>
    <mergeCell ref="A11:C11"/>
    <mergeCell ref="E16:I16"/>
    <mergeCell ref="G23:I23"/>
    <mergeCell ref="A1:I1"/>
    <mergeCell ref="A6:I6"/>
    <mergeCell ref="D4:G4"/>
    <mergeCell ref="A2:I2"/>
    <mergeCell ref="E9:I9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예상비용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2026-06-25T04:06:39Z</dcterms:created>
  <dcterms:modified xsi:type="dcterms:W3CDTF">2026-06-25T04:18:55Z</dcterms:modified>
</cp:coreProperties>
</file>