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eulking/Downloads/KX_프로젝트B_자료/02_리서치/"/>
    </mc:Choice>
  </mc:AlternateContent>
  <xr:revisionPtr revIDLastSave="0" documentId="13_ncr:1_{7D4F7EB6-94E3-014F-98C7-604774A7E39A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예상비용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1" l="1"/>
  <c r="F32" i="1" s="1"/>
  <c r="G32" i="1" s="1"/>
  <c r="E31" i="1"/>
  <c r="F31" i="1" s="1"/>
  <c r="G31" i="1" s="1"/>
  <c r="E30" i="1"/>
  <c r="F30" i="1" s="1"/>
  <c r="G30" i="1" s="1"/>
  <c r="E29" i="1"/>
  <c r="F29" i="1" s="1"/>
  <c r="D23" i="1"/>
  <c r="D24" i="1" s="1"/>
  <c r="G18" i="1"/>
  <c r="H18" i="1" s="1"/>
  <c r="G17" i="1"/>
  <c r="H17" i="1" s="1"/>
  <c r="D12" i="1"/>
  <c r="E12" i="1" s="1"/>
  <c r="D11" i="1"/>
  <c r="E11" i="1" s="1"/>
  <c r="D9" i="1"/>
  <c r="E9" i="1" s="1"/>
  <c r="E24" i="1" l="1"/>
  <c r="B40" i="1"/>
  <c r="C40" i="1" s="1"/>
  <c r="B39" i="1"/>
  <c r="C39" i="1" s="1"/>
  <c r="F33" i="1"/>
  <c r="G33" i="1" s="1"/>
  <c r="G29" i="1"/>
  <c r="G19" i="1"/>
  <c r="H19" i="1" s="1"/>
  <c r="D13" i="1"/>
  <c r="E23" i="1"/>
  <c r="B42" i="1" l="1"/>
  <c r="C42" i="1" s="1"/>
  <c r="B38" i="1"/>
  <c r="E13" i="1"/>
  <c r="C38" i="1" s="1"/>
  <c r="B41" i="1"/>
  <c r="C41" i="1" s="1"/>
</calcChain>
</file>

<file path=xl/sharedStrings.xml><?xml version="1.0" encoding="utf-8"?>
<sst xmlns="http://schemas.openxmlformats.org/spreadsheetml/2006/main" count="73" uniqueCount="61">
  <si>
    <t>■ 가정 (Assumptions)</t>
  </si>
  <si>
    <t>환율 (KRW/USD)</t>
  </si>
  <si>
    <t>← 제출 시점 환율로 갱신</t>
  </si>
  <si>
    <t>청구 기간</t>
  </si>
  <si>
    <t>1개월</t>
  </si>
  <si>
    <t>① 고정 구독 (월 정액)</t>
  </si>
  <si>
    <t>항목</t>
  </si>
  <si>
    <t>단가(USD/월)</t>
  </si>
  <si>
    <t>인원·좌석</t>
  </si>
  <si>
    <t>합계(USD)</t>
  </si>
  <si>
    <t>합계(KRW)</t>
  </si>
  <si>
    <t>비고</t>
  </si>
  <si>
    <t>Figma Professional (월간)</t>
  </si>
  <si>
    <t>UX/UI 1인</t>
  </si>
  <si>
    <t>Vercel</t>
  </si>
  <si>
    <t>Free Tier 사용</t>
  </si>
  <si>
    <t>AWS (EC2·S3·RDS 예비 예산)</t>
  </si>
  <si>
    <t>Free Tier 만료 대비 고정 예비 예산</t>
  </si>
  <si>
    <t>Claude Code Pro × 6명</t>
  </si>
  <si>
    <t>Pro $20/유저</t>
  </si>
  <si>
    <t>고정 소계</t>
  </si>
  <si>
    <t>② 사용량 기반 API — 토큰 기반 (Claude Sonnet)</t>
  </si>
  <si>
    <t>호출수</t>
  </si>
  <si>
    <t>입력토큰/회</t>
  </si>
  <si>
    <t>출력토큰/회</t>
  </si>
  <si>
    <t>입력단가($/1M)</t>
  </si>
  <si>
    <t>출력단가($/1M)</t>
  </si>
  <si>
    <t>Claude Sonnet — 프롬프트 보조 (F001)</t>
  </si>
  <si>
    <t>Claude Sonnet — 역프롬프트 (F004, S등급)</t>
  </si>
  <si>
    <t>API 소계</t>
  </si>
  <si>
    <t>③ 사용량 기반 — 이미지 생성 (GPT Image 2, quality: medium)</t>
  </si>
  <si>
    <t>이미지 수</t>
  </si>
  <si>
    <t>단가/장(USD)</t>
  </si>
  <si>
    <t>GPT Image 2 medium — 단일 이미지 (F001)</t>
  </si>
  <si>
    <t>이미지 생성 테스트+데모</t>
  </si>
  <si>
    <t>이미지 소계</t>
  </si>
  <si>
    <t>④ 사용량 기반 — 영상 생성 (fal.ai / 1세트 = 1클립)</t>
  </si>
  <si>
    <t xml:space="preserve">  ℹ  흐름: [B팀] 9그리드 스토리보드 + shot1~9 프롬프트 제공  →  [A2팀] 영상 생성 API  →  클립 1개 출력</t>
  </si>
  <si>
    <t>단가($/초)</t>
  </si>
  <si>
    <t>세트 수</t>
  </si>
  <si>
    <t>초/클립</t>
  </si>
  <si>
    <t>총 초</t>
  </si>
  <si>
    <t>fal.ai Kling — 개발 테스트 (5초/클립)</t>
  </si>
  <si>
    <t>1주차~4주차 / BE 주 2회 × 4주 / 3~5초 상한 기준</t>
  </si>
  <si>
    <t>fal.ai Seedance 2.0 — 2주차 중간점검 (5초/클립)</t>
  </si>
  <si>
    <t>BE 연동 3+품질 3+PM확인 2+리허설 1+데모 1</t>
  </si>
  <si>
    <t>fal.ai Seedance 2.0 — 3주차 품질 확인 (10초/클립)</t>
  </si>
  <si>
    <t>BE 품질조정 3+PM검수 2+팀리뷰 1</t>
  </si>
  <si>
    <t>fal.ai Seedance 2.0 — 4주차 최종 출력 (15초/클립, 최대 길이)</t>
  </si>
  <si>
    <t>BE확인 2+PM검수 2+리허설 1+최종발표 2</t>
  </si>
  <si>
    <t>영상 소계</t>
  </si>
  <si>
    <t xml:space="preserve">  ★ fal.ai Hard Limit 권장 $100 설정 (Billing &gt; Spend Limit)</t>
  </si>
  <si>
    <t>■ 요약</t>
  </si>
  <si>
    <t>USD</t>
  </si>
  <si>
    <t>KRW</t>
  </si>
  <si>
    <t>① 고정 구독 소계</t>
  </si>
  <si>
    <t>②③④ API/이미지/영상 소계 (B등급)</t>
  </si>
  <si>
    <t>②③④ API/이미지/영상 소계 (S등급 도전)</t>
  </si>
  <si>
    <t>★ 총 합계 — B등급</t>
  </si>
  <si>
    <t>★ 총 합계 — S등급 (권장)</t>
  </si>
  <si>
    <t>KX_A2 · 1개월 예상 비용 (청구용)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</si>
</sst>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scheme val="minor"/>
    </font>
    <font>
      <b/>
      <sz val="11"/>
      <color rgb="FFFFFFFF"/>
      <name val="맑은 고딕"/>
      <charset val="129"/>
    </font>
    <font>
      <sz val="11"/>
      <color rgb="FF000000"/>
      <name val="맑은 고딕"/>
      <charset val="129"/>
    </font>
    <font>
      <b/>
      <sz val="11"/>
      <color rgb="FF000000"/>
      <name val="맑은 고딕"/>
      <charset val="129"/>
    </font>
    <font>
      <sz val="10"/>
      <color rgb="FF444444"/>
      <name val="맑은 고딕"/>
      <charset val="129"/>
    </font>
    <font>
      <b/>
      <sz val="10"/>
      <color rgb="FFC00000"/>
      <name val="맑은 고딕"/>
      <charset val="129"/>
    </font>
    <font>
      <b/>
      <sz val="12"/>
      <color rgb="FF000000"/>
      <name val="맑은 고딕"/>
      <charset val="129"/>
    </font>
    <font>
      <sz val="8"/>
      <name val="맑은 고딕"/>
      <family val="3"/>
      <charset val="129"/>
      <scheme val="minor"/>
    </font>
    <font>
      <b/>
      <sz val="14"/>
      <color rgb="FF000000"/>
      <name val="맑은 고딕"/>
      <family val="2"/>
      <charset val="129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4472C4"/>
      </patternFill>
    </fill>
    <fill>
      <patternFill patternType="solid">
        <fgColor rgb="FFD9D9D9"/>
      </patternFill>
    </fill>
    <fill>
      <patternFill patternType="solid">
        <fgColor rgb="FFEEF3FB"/>
      </patternFill>
    </fill>
    <fill>
      <patternFill patternType="solid">
        <fgColor rgb="FFFFF0F0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4" fontId="3" fillId="4" borderId="1" xfId="0" applyNumberFormat="1" applyFont="1" applyFill="1" applyBorder="1" applyAlignment="1">
      <alignment horizontal="right" vertical="center"/>
    </xf>
    <xf numFmtId="3" fontId="3" fillId="4" borderId="1" xfId="0" applyNumberFormat="1" applyFont="1" applyFill="1" applyBorder="1" applyAlignment="1">
      <alignment horizontal="right" vertical="center"/>
    </xf>
    <xf numFmtId="4" fontId="0" fillId="0" borderId="0" xfId="0" applyNumberFormat="1"/>
    <xf numFmtId="3" fontId="0" fillId="0" borderId="0" xfId="0" applyNumberFormat="1"/>
    <xf numFmtId="0" fontId="3" fillId="7" borderId="1" xfId="0" applyFont="1" applyFill="1" applyBorder="1" applyAlignment="1">
      <alignment horizontal="left" vertical="center"/>
    </xf>
    <xf numFmtId="4" fontId="3" fillId="7" borderId="1" xfId="0" applyNumberFormat="1" applyFont="1" applyFill="1" applyBorder="1" applyAlignment="1">
      <alignment horizontal="right" vertical="center"/>
    </xf>
    <xf numFmtId="3" fontId="3" fillId="7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left" vertical="center"/>
    </xf>
    <xf numFmtId="4" fontId="6" fillId="7" borderId="1" xfId="0" applyNumberFormat="1" applyFont="1" applyFill="1" applyBorder="1" applyAlignment="1">
      <alignment horizontal="right" vertical="center"/>
    </xf>
    <xf numFmtId="3" fontId="6" fillId="7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4" fillId="5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workbookViewId="0">
      <selection activeCell="F16" sqref="F16"/>
    </sheetView>
  </sheetViews>
  <sheetFormatPr baseColWidth="10" defaultColWidth="8.83203125" defaultRowHeight="17"/>
  <cols>
    <col min="1" max="1" width="57.6640625" bestFit="1" customWidth="1"/>
    <col min="2" max="2" width="14" customWidth="1"/>
    <col min="3" max="3" width="13" customWidth="1"/>
    <col min="4" max="4" width="14" customWidth="1"/>
    <col min="5" max="5" width="15" customWidth="1"/>
    <col min="6" max="6" width="35.1640625" bestFit="1" customWidth="1"/>
    <col min="7" max="7" width="14" customWidth="1"/>
    <col min="8" max="8" width="47.5" bestFit="1" customWidth="1"/>
  </cols>
  <sheetData>
    <row r="1" spans="1:8" ht="21" customHeight="1">
      <c r="A1" s="24" t="s">
        <v>60</v>
      </c>
      <c r="B1" s="21"/>
      <c r="C1" s="21"/>
      <c r="D1" s="21"/>
      <c r="E1" s="21"/>
      <c r="F1" s="21"/>
      <c r="G1" s="21"/>
      <c r="H1" s="21"/>
    </row>
    <row r="3" spans="1:8">
      <c r="A3" s="20" t="s">
        <v>0</v>
      </c>
      <c r="B3" s="21"/>
      <c r="C3" s="21"/>
      <c r="D3" s="21"/>
      <c r="E3" s="21"/>
      <c r="F3" s="21"/>
      <c r="G3" s="21"/>
      <c r="H3" s="21"/>
    </row>
    <row r="4" spans="1:8">
      <c r="A4" s="1" t="s">
        <v>1</v>
      </c>
      <c r="B4" s="2">
        <v>1550</v>
      </c>
      <c r="C4" s="1" t="s">
        <v>2</v>
      </c>
    </row>
    <row r="5" spans="1:8">
      <c r="A5" s="1" t="s">
        <v>3</v>
      </c>
      <c r="B5" s="3" t="s">
        <v>4</v>
      </c>
    </row>
    <row r="7" spans="1:8">
      <c r="A7" s="20" t="s">
        <v>5</v>
      </c>
      <c r="B7" s="21"/>
      <c r="C7" s="21"/>
      <c r="D7" s="21"/>
      <c r="E7" s="21"/>
      <c r="F7" s="21"/>
      <c r="G7" s="21"/>
      <c r="H7" s="21"/>
    </row>
    <row r="8" spans="1:8" ht="18">
      <c r="A8" s="4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/>
      <c r="H8" s="4"/>
    </row>
    <row r="9" spans="1:8">
      <c r="A9" s="1" t="s">
        <v>12</v>
      </c>
      <c r="B9" s="3">
        <v>20</v>
      </c>
      <c r="C9" s="3">
        <v>1</v>
      </c>
      <c r="D9" s="5">
        <f>B9*C9</f>
        <v>20</v>
      </c>
      <c r="E9" s="2">
        <f>D9*$B$4</f>
        <v>31000</v>
      </c>
      <c r="F9" s="3" t="s">
        <v>13</v>
      </c>
    </row>
    <row r="10" spans="1:8">
      <c r="A10" s="1" t="s">
        <v>14</v>
      </c>
      <c r="B10" s="3">
        <v>0</v>
      </c>
      <c r="C10" s="3">
        <v>1</v>
      </c>
      <c r="D10" s="5">
        <v>0</v>
      </c>
      <c r="E10" s="2">
        <v>0</v>
      </c>
      <c r="F10" s="3" t="s">
        <v>15</v>
      </c>
    </row>
    <row r="11" spans="1:8">
      <c r="A11" s="1" t="s">
        <v>16</v>
      </c>
      <c r="B11" s="3">
        <v>30</v>
      </c>
      <c r="C11" s="3">
        <v>1</v>
      </c>
      <c r="D11" s="5">
        <f>B11*C11</f>
        <v>30</v>
      </c>
      <c r="E11" s="2">
        <f>D11*$B$4</f>
        <v>46500</v>
      </c>
      <c r="F11" s="3" t="s">
        <v>17</v>
      </c>
    </row>
    <row r="12" spans="1:8">
      <c r="A12" s="1" t="s">
        <v>18</v>
      </c>
      <c r="B12" s="3">
        <v>20</v>
      </c>
      <c r="C12" s="3">
        <v>6</v>
      </c>
      <c r="D12" s="5">
        <f>B12*C12</f>
        <v>120</v>
      </c>
      <c r="E12" s="2">
        <f>D12*$B$4</f>
        <v>186000</v>
      </c>
      <c r="F12" s="3" t="s">
        <v>19</v>
      </c>
    </row>
    <row r="13" spans="1:8">
      <c r="A13" s="6" t="s">
        <v>20</v>
      </c>
      <c r="B13" s="7"/>
      <c r="C13" s="7"/>
      <c r="D13" s="8">
        <f>SUM(D9:D12)</f>
        <v>170</v>
      </c>
      <c r="E13" s="9">
        <f>D13*$B$4</f>
        <v>263500</v>
      </c>
    </row>
    <row r="15" spans="1:8">
      <c r="A15" s="20" t="s">
        <v>21</v>
      </c>
      <c r="B15" s="21"/>
      <c r="C15" s="21"/>
      <c r="D15" s="21"/>
      <c r="E15" s="21"/>
      <c r="F15" s="21"/>
      <c r="G15" s="21"/>
      <c r="H15" s="21"/>
    </row>
    <row r="16" spans="1:8" ht="18">
      <c r="A16" s="4" t="s">
        <v>6</v>
      </c>
      <c r="B16" s="4" t="s">
        <v>22</v>
      </c>
      <c r="C16" s="4" t="s">
        <v>23</v>
      </c>
      <c r="D16" s="4" t="s">
        <v>24</v>
      </c>
      <c r="E16" s="4" t="s">
        <v>25</v>
      </c>
      <c r="F16" s="4" t="s">
        <v>26</v>
      </c>
      <c r="G16" s="4" t="s">
        <v>9</v>
      </c>
      <c r="H16" s="4" t="s">
        <v>10</v>
      </c>
    </row>
    <row r="17" spans="1:8">
      <c r="A17" s="1" t="s">
        <v>27</v>
      </c>
      <c r="B17" s="3">
        <v>350</v>
      </c>
      <c r="C17" s="3">
        <v>2000</v>
      </c>
      <c r="D17" s="3">
        <v>600</v>
      </c>
      <c r="E17" s="3">
        <v>3</v>
      </c>
      <c r="F17" s="3">
        <v>15</v>
      </c>
      <c r="G17" s="5">
        <f>B17*(C17*E17+D17*F17)/1000000</f>
        <v>5.25</v>
      </c>
      <c r="H17" s="2">
        <f>G17*$B$4</f>
        <v>8137.5</v>
      </c>
    </row>
    <row r="18" spans="1:8">
      <c r="A18" s="1" t="s">
        <v>28</v>
      </c>
      <c r="B18" s="3">
        <v>150</v>
      </c>
      <c r="C18" s="3">
        <v>2500</v>
      </c>
      <c r="D18" s="3">
        <v>800</v>
      </c>
      <c r="E18" s="3">
        <v>3</v>
      </c>
      <c r="F18" s="3">
        <v>15</v>
      </c>
      <c r="G18" s="5">
        <f>B18*(C18*E18+D18*F18)/1000000</f>
        <v>2.9249999999999998</v>
      </c>
      <c r="H18" s="2">
        <f>G18*$B$4</f>
        <v>4533.75</v>
      </c>
    </row>
    <row r="19" spans="1:8">
      <c r="A19" s="6" t="s">
        <v>29</v>
      </c>
      <c r="B19" s="7"/>
      <c r="C19" s="7"/>
      <c r="D19" s="7"/>
      <c r="E19" s="7"/>
      <c r="F19" s="7"/>
      <c r="G19" s="8">
        <f>SUM(G17:G18)</f>
        <v>8.1750000000000007</v>
      </c>
      <c r="H19" s="9">
        <f>G19*$B$4</f>
        <v>12671.250000000002</v>
      </c>
    </row>
    <row r="21" spans="1:8">
      <c r="A21" s="20" t="s">
        <v>30</v>
      </c>
      <c r="B21" s="21"/>
      <c r="C21" s="21"/>
      <c r="D21" s="21"/>
      <c r="E21" s="21"/>
      <c r="F21" s="21"/>
      <c r="G21" s="21"/>
      <c r="H21" s="21"/>
    </row>
    <row r="22" spans="1:8" ht="18">
      <c r="A22" s="4" t="s">
        <v>6</v>
      </c>
      <c r="B22" s="4" t="s">
        <v>31</v>
      </c>
      <c r="C22" s="4" t="s">
        <v>32</v>
      </c>
      <c r="D22" s="4" t="s">
        <v>9</v>
      </c>
      <c r="E22" s="4" t="s">
        <v>10</v>
      </c>
      <c r="F22" s="4" t="s">
        <v>11</v>
      </c>
      <c r="G22" s="4"/>
      <c r="H22" s="4"/>
    </row>
    <row r="23" spans="1:8">
      <c r="A23" s="1" t="s">
        <v>33</v>
      </c>
      <c r="B23" s="3">
        <v>120</v>
      </c>
      <c r="C23" s="3">
        <v>4.2000000000000003E-2</v>
      </c>
      <c r="D23" s="5">
        <f>B23*C23</f>
        <v>5.04</v>
      </c>
      <c r="E23" s="2">
        <f>D23*$B$4</f>
        <v>7812</v>
      </c>
      <c r="F23" s="3" t="s">
        <v>34</v>
      </c>
    </row>
    <row r="24" spans="1:8">
      <c r="A24" s="6" t="s">
        <v>35</v>
      </c>
      <c r="B24" s="7"/>
      <c r="C24" s="7"/>
      <c r="D24" s="8">
        <f>D23</f>
        <v>5.04</v>
      </c>
      <c r="E24" s="9">
        <f>D24*$B$4</f>
        <v>7812</v>
      </c>
    </row>
    <row r="26" spans="1:8">
      <c r="A26" s="20" t="s">
        <v>36</v>
      </c>
      <c r="B26" s="21"/>
      <c r="C26" s="21"/>
      <c r="D26" s="21"/>
      <c r="E26" s="21"/>
      <c r="F26" s="21"/>
      <c r="G26" s="21"/>
      <c r="H26" s="21"/>
    </row>
    <row r="27" spans="1:8">
      <c r="A27" s="22" t="s">
        <v>37</v>
      </c>
      <c r="B27" s="21"/>
      <c r="C27" s="21"/>
      <c r="D27" s="21"/>
      <c r="E27" s="21"/>
      <c r="F27" s="21"/>
      <c r="G27" s="21"/>
      <c r="H27" s="21"/>
    </row>
    <row r="28" spans="1:8" ht="18">
      <c r="A28" s="4" t="s">
        <v>6</v>
      </c>
      <c r="B28" s="4" t="s">
        <v>38</v>
      </c>
      <c r="C28" s="4" t="s">
        <v>39</v>
      </c>
      <c r="D28" s="4" t="s">
        <v>40</v>
      </c>
      <c r="E28" s="4" t="s">
        <v>41</v>
      </c>
      <c r="F28" s="4" t="s">
        <v>9</v>
      </c>
      <c r="G28" s="4" t="s">
        <v>10</v>
      </c>
      <c r="H28" s="4" t="s">
        <v>11</v>
      </c>
    </row>
    <row r="29" spans="1:8">
      <c r="A29" s="1" t="s">
        <v>42</v>
      </c>
      <c r="B29" s="3">
        <v>0.11</v>
      </c>
      <c r="C29" s="3">
        <v>8</v>
      </c>
      <c r="D29" s="3">
        <v>5</v>
      </c>
      <c r="E29" s="3">
        <f>C29*D29</f>
        <v>40</v>
      </c>
      <c r="F29" s="5">
        <f>B29*E29</f>
        <v>4.4000000000000004</v>
      </c>
      <c r="G29" s="2">
        <f>F29*$B$4</f>
        <v>6820.0000000000009</v>
      </c>
      <c r="H29" s="3" t="s">
        <v>43</v>
      </c>
    </row>
    <row r="30" spans="1:8">
      <c r="A30" s="1" t="s">
        <v>44</v>
      </c>
      <c r="B30" s="3">
        <v>0.3034</v>
      </c>
      <c r="C30" s="3">
        <v>10</v>
      </c>
      <c r="D30" s="3">
        <v>5</v>
      </c>
      <c r="E30" s="3">
        <f>C30*D30</f>
        <v>50</v>
      </c>
      <c r="F30" s="5">
        <f>B30*E30</f>
        <v>15.17</v>
      </c>
      <c r="G30" s="2">
        <f>F30*$B$4</f>
        <v>23513.5</v>
      </c>
      <c r="H30" s="3" t="s">
        <v>45</v>
      </c>
    </row>
    <row r="31" spans="1:8">
      <c r="A31" s="1" t="s">
        <v>46</v>
      </c>
      <c r="B31" s="3">
        <v>0.3034</v>
      </c>
      <c r="C31" s="3">
        <v>6</v>
      </c>
      <c r="D31" s="3">
        <v>10</v>
      </c>
      <c r="E31" s="3">
        <f>C31*D31</f>
        <v>60</v>
      </c>
      <c r="F31" s="5">
        <f>B31*E31</f>
        <v>18.204000000000001</v>
      </c>
      <c r="G31" s="2">
        <f>F31*$B$4</f>
        <v>28216.2</v>
      </c>
      <c r="H31" s="3" t="s">
        <v>47</v>
      </c>
    </row>
    <row r="32" spans="1:8">
      <c r="A32" s="1" t="s">
        <v>48</v>
      </c>
      <c r="B32" s="3">
        <v>0.3034</v>
      </c>
      <c r="C32" s="3">
        <v>7</v>
      </c>
      <c r="D32" s="3">
        <v>15</v>
      </c>
      <c r="E32" s="3">
        <f>C32*D32</f>
        <v>105</v>
      </c>
      <c r="F32" s="5">
        <f>B32*E32</f>
        <v>31.856999999999999</v>
      </c>
      <c r="G32" s="2">
        <f>F32*$B$4</f>
        <v>49378.35</v>
      </c>
      <c r="H32" s="3" t="s">
        <v>49</v>
      </c>
    </row>
    <row r="33" spans="1:8">
      <c r="A33" s="6" t="s">
        <v>50</v>
      </c>
      <c r="B33" s="7"/>
      <c r="C33" s="7"/>
      <c r="D33" s="7"/>
      <c r="E33" s="7"/>
      <c r="F33" s="8">
        <f>SUM(F29:F32)</f>
        <v>69.631</v>
      </c>
      <c r="G33" s="9">
        <f>F33*$B$4</f>
        <v>107928.05</v>
      </c>
    </row>
    <row r="34" spans="1:8">
      <c r="A34" s="23" t="s">
        <v>51</v>
      </c>
      <c r="B34" s="21"/>
      <c r="C34" s="21"/>
      <c r="D34" s="21"/>
      <c r="E34" s="21"/>
      <c r="F34" s="21"/>
      <c r="G34" s="21"/>
      <c r="H34" s="21"/>
    </row>
    <row r="36" spans="1:8">
      <c r="A36" s="20" t="s">
        <v>52</v>
      </c>
      <c r="B36" s="21"/>
      <c r="C36" s="21"/>
      <c r="D36" s="21"/>
      <c r="E36" s="21"/>
      <c r="F36" s="21"/>
      <c r="G36" s="21"/>
      <c r="H36" s="21"/>
    </row>
    <row r="37" spans="1:8" ht="18">
      <c r="A37" s="4" t="s">
        <v>6</v>
      </c>
      <c r="B37" s="4" t="s">
        <v>53</v>
      </c>
      <c r="C37" s="4" t="s">
        <v>54</v>
      </c>
      <c r="D37" s="4"/>
      <c r="E37" s="4"/>
      <c r="F37" s="4"/>
      <c r="G37" s="4"/>
      <c r="H37" s="4"/>
    </row>
    <row r="38" spans="1:8">
      <c r="A38" s="1" t="s">
        <v>55</v>
      </c>
      <c r="B38" s="10">
        <f>D13</f>
        <v>170</v>
      </c>
      <c r="C38" s="11">
        <f>E13</f>
        <v>263500</v>
      </c>
    </row>
    <row r="39" spans="1:8">
      <c r="A39" s="1" t="s">
        <v>56</v>
      </c>
      <c r="B39" s="10">
        <f>D24+F29+F30+F31+G17</f>
        <v>48.064</v>
      </c>
      <c r="C39" s="11">
        <f>B39*$B$4</f>
        <v>74499.199999999997</v>
      </c>
    </row>
    <row r="40" spans="1:8">
      <c r="A40" s="1" t="s">
        <v>57</v>
      </c>
      <c r="B40" s="10">
        <f>D24+F29+F30+F31+F32+G17+G18</f>
        <v>82.845999999999989</v>
      </c>
      <c r="C40" s="11">
        <f>B40*$B$4</f>
        <v>128411.29999999999</v>
      </c>
    </row>
    <row r="41" spans="1:8" ht="16.5" customHeight="1">
      <c r="A41" s="12" t="s">
        <v>58</v>
      </c>
      <c r="B41" s="13">
        <f>D13+B39</f>
        <v>218.06399999999999</v>
      </c>
      <c r="C41" s="14">
        <f>B41*$B$4</f>
        <v>337999.2</v>
      </c>
      <c r="D41" s="15"/>
      <c r="E41" s="15"/>
      <c r="F41" s="15"/>
      <c r="G41" s="15"/>
      <c r="H41" s="15"/>
    </row>
    <row r="42" spans="1:8" ht="18" customHeight="1">
      <c r="A42" s="16" t="s">
        <v>59</v>
      </c>
      <c r="B42" s="17">
        <f>D13+B40</f>
        <v>252.846</v>
      </c>
      <c r="C42" s="18">
        <f>B42*$B$4</f>
        <v>391911.3</v>
      </c>
      <c r="D42" s="19"/>
      <c r="E42" s="19"/>
      <c r="F42" s="19"/>
      <c r="G42" s="19"/>
      <c r="H42" s="19"/>
    </row>
  </sheetData>
  <mergeCells count="9">
    <mergeCell ref="A1:H1"/>
    <mergeCell ref="A21:H21"/>
    <mergeCell ref="A3:H3"/>
    <mergeCell ref="A27:H27"/>
    <mergeCell ref="A7:H7"/>
    <mergeCell ref="A36:H36"/>
    <mergeCell ref="A15:H15"/>
    <mergeCell ref="A26:H26"/>
    <mergeCell ref="A34:H34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예상비용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2026-06-30T10:53:19Z</dcterms:created>
  <dcterms:modified xsi:type="dcterms:W3CDTF">2026-07-01T01:04:18Z</dcterms:modified>
</cp:coreProperties>
</file>