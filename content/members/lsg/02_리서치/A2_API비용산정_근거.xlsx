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eulking/Downloads/"/>
    </mc:Choice>
  </mc:AlternateContent>
  <xr:revisionPtr revIDLastSave="0" documentId="13_ncr:1_{6DA4FF40-3B55-2A4F-A8F1-FEE80E0452D1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예상비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F31" i="1" s="1"/>
  <c r="G31" i="1" s="1"/>
  <c r="E30" i="1"/>
  <c r="F30" i="1" s="1"/>
  <c r="G30" i="1" s="1"/>
  <c r="E29" i="1"/>
  <c r="F29" i="1" s="1"/>
  <c r="G29" i="1" s="1"/>
  <c r="E28" i="1"/>
  <c r="F28" i="1" s="1"/>
  <c r="D22" i="1"/>
  <c r="E22" i="1" s="1"/>
  <c r="G17" i="1"/>
  <c r="H17" i="1" s="1"/>
  <c r="D12" i="1"/>
  <c r="E12" i="1" s="1"/>
  <c r="E11" i="1"/>
  <c r="D10" i="1"/>
  <c r="E10" i="1" s="1"/>
  <c r="D9" i="1"/>
  <c r="E9" i="1" s="1"/>
  <c r="G18" i="1" l="1"/>
  <c r="H18" i="1" s="1"/>
  <c r="G28" i="1"/>
  <c r="F32" i="1"/>
  <c r="G32" i="1" s="1"/>
  <c r="D23" i="1"/>
  <c r="E23" i="1" s="1"/>
  <c r="D13" i="1"/>
  <c r="E13" i="1" l="1"/>
  <c r="C37" i="1" s="1"/>
  <c r="B37" i="1"/>
  <c r="B38" i="1"/>
  <c r="C38" i="1" s="1"/>
  <c r="B39" i="1" l="1"/>
  <c r="C39" i="1" s="1"/>
</calcChain>
</file>

<file path=xl/sharedStrings.xml><?xml version="1.0" encoding="utf-8"?>
<sst xmlns="http://schemas.openxmlformats.org/spreadsheetml/2006/main" count="84" uniqueCount="69">
  <si>
    <t>KX_A2팀 · 1개월 예상 비용 (청구용)</t>
  </si>
  <si>
    <t>■ 가정 (Assumptions)</t>
  </si>
  <si>
    <t>환율 (KRW/USD)</t>
  </si>
  <si>
    <t>← 제출 시점 환율로 갱신</t>
  </si>
  <si>
    <t>청구 기간</t>
  </si>
  <si>
    <t>1개월</t>
  </si>
  <si>
    <t>① 고정 구독 (월 정액)</t>
  </si>
  <si>
    <t>항목</t>
  </si>
  <si>
    <t>단가(USD/월)</t>
  </si>
  <si>
    <t>인원·좌석</t>
  </si>
  <si>
    <t>합계(USD)</t>
  </si>
  <si>
    <t>합계(KRW)</t>
  </si>
  <si>
    <t>비고</t>
  </si>
  <si>
    <t>비고2</t>
  </si>
  <si>
    <t>Figma Professional (월간)</t>
  </si>
  <si>
    <t>FE 1인 + UX/UI 1인</t>
  </si>
  <si>
    <t>팀원 모두가 동일한 디자인 화면을 실시간 확인·수정 — 파일 전송 없이 즉각 피드백 가능</t>
  </si>
  <si>
    <t>Vercel Pro</t>
  </si>
  <si>
    <t>FE 1인</t>
  </si>
  <si>
    <t>코드를 올리면 자동으로 웹서비스로 변환·배포 — 서버 지식 없이도 전 세계에서 접속 가능</t>
  </si>
  <si>
    <t>AWS (EC2·S3 예비 예산)</t>
  </si>
  <si>
    <t>트래픽 급증·무료 한도 초과 시 서비스 중단 없이 즉시 대응 — 발표·데모 중 안정적 운영 보장</t>
  </si>
  <si>
    <t>Claude Code Pro × 6명</t>
  </si>
  <si>
    <t>Pro $20/유저</t>
  </si>
  <si>
    <t>AI가 코드 제안·오류 수정을 실시간 지원 — 개발 속도 향상으로 1개월 내 완성 가능</t>
  </si>
  <si>
    <t>고정 소계</t>
  </si>
  <si>
    <t>② 사용량 기반 API — 프롬프트 생성 (Claude Sonnet)</t>
  </si>
  <si>
    <t>호출수</t>
  </si>
  <si>
    <t>입력토큰/회</t>
  </si>
  <si>
    <t>출력토큰/회</t>
  </si>
  <si>
    <t>입력단가($/1M)</t>
  </si>
  <si>
    <t>출력단가($/1M)</t>
  </si>
  <si>
    <t>Claude Sonnet — 프롬프트 보조 (F001)</t>
  </si>
  <si>
    <t>짧은 텍스트 입력도 AI가 자동으로 풍부한 묘사로 보완 — 프롬프트 경험 없이도 고품질 결과물</t>
  </si>
  <si>
    <t>Claude API 소계</t>
  </si>
  <si>
    <t>③ 사용량 기반 — 이미지 생성 (GPT Image 2, quality: medium)</t>
  </si>
  <si>
    <t>이미지 수</t>
  </si>
  <si>
    <t>단가/장(USD)</t>
  </si>
  <si>
    <t>GPT Image 2 — 단일 이미지 (F001)</t>
  </si>
  <si>
    <t>이미지 생성 테스트+데모</t>
  </si>
  <si>
    <t>텍스트 설명만으로 수초 내 고품질 이미지 생성 — 디자이너 없이도 원하는 장면을 즉시 시각화</t>
  </si>
  <si>
    <t>이미지 소계</t>
  </si>
  <si>
    <t>④ 사용량 기반 — 영상 생성 (fal.ai / 1세트 = 1클립)</t>
  </si>
  <si>
    <t xml:space="preserve">  ℹ  흐름: [B팀] 9그리드 스토리보드 + shot1~9 프롬프트 제공  →  [A2팀] 영상 생성 API  →  클립 1개 출력</t>
  </si>
  <si>
    <t>단가($/초)</t>
  </si>
  <si>
    <t>세트 수</t>
  </si>
  <si>
    <t>초/클립</t>
  </si>
  <si>
    <t>총 초</t>
  </si>
  <si>
    <t>fal.ai Kling — 개발 테스트 (5초/클립)</t>
  </si>
  <si>
    <t>1~4주차 / BE 주 2회 × 4주</t>
  </si>
  <si>
    <t>저비용으로 영상 생성 기능을 반복 테스트 — 실제 비용 최소화하며 개발 오류 조기 발견</t>
  </si>
  <si>
    <t>fal.ai Seedance 2.0 — 2주차 품질 확인 (5초/클립)</t>
  </si>
  <si>
    <t>BE 연동 3+품질 3+PM확인 2+리허설 1+데모 1</t>
  </si>
  <si>
    <t>실제 서비스 품질로 영상을 생성해 사용자가 경험할 결과물을 사전 확인 — 발표 전 완성도 검증</t>
  </si>
  <si>
    <t>fal.ai Seedance 2.0 — 3주차 품질 확인 (10초/클립)</t>
  </si>
  <si>
    <t>BE 품질조정 3+PM검수 2+팀리뷰 1</t>
  </si>
  <si>
    <t>영상 길이·품질 옵션을 직접 비교해 최적 설정 도출 — 최종 출력 전 비용 대비 품질 기준 확정</t>
  </si>
  <si>
    <t>fal.ai Seedance 2.0 — 4주차 최종 출력 (15초/클립)</t>
  </si>
  <si>
    <t>BE확인 2+PM검수 2+리허설 1+최종발표 2</t>
  </si>
  <si>
    <t>발표·시연 시 심사위원에게 실제 서비스 결과물을 직접 보여주기 위한 고품질 최종 출력</t>
  </si>
  <si>
    <t>영상 소계</t>
  </si>
  <si>
    <t xml:space="preserve">  ★ fal.ai Hard Limit 권장 $100 설정 (Billing &gt; Spend Limit)</t>
  </si>
  <si>
    <t>■ 요약</t>
  </si>
  <si>
    <t>USD</t>
  </si>
  <si>
    <t>KRW</t>
  </si>
  <si>
    <t>① 고정 구독 소계</t>
  </si>
  <si>
    <t>②③④ API 소계</t>
  </si>
  <si>
    <t>★ 총 합계</t>
  </si>
  <si>
    <t>[AWS는 추후 청구]
Free Tier 만료 대비 고정 예비 예산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</si>
</sst>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b/>
      <sz val="10"/>
      <color rgb="FFC0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EEF3FB"/>
      </patternFill>
    </fill>
    <fill>
      <patternFill patternType="solid">
        <fgColor rgb="FFFFF0F0"/>
      </patternFill>
    </fill>
    <fill>
      <patternFill patternType="solid">
        <fgColor rgb="FFFFF2CC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7" fillId="7" borderId="1" xfId="0" applyFont="1" applyFill="1" applyBorder="1" applyAlignment="1">
      <alignment horizontal="left" vertical="center" wrapText="1"/>
    </xf>
    <xf numFmtId="4" fontId="7" fillId="7" borderId="1" xfId="0" applyNumberFormat="1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0" borderId="1" xfId="0" applyBorder="1"/>
    <xf numFmtId="0" fontId="10" fillId="8" borderId="1" xfId="0" applyFont="1" applyFill="1" applyBorder="1" applyAlignment="1">
      <alignment horizontal="right" vertical="center"/>
    </xf>
    <xf numFmtId="4" fontId="0" fillId="0" borderId="1" xfId="0" applyNumberFormat="1" applyBorder="1"/>
    <xf numFmtId="3" fontId="0" fillId="0" borderId="1" xfId="0" applyNumberFormat="1" applyBorder="1"/>
    <xf numFmtId="0" fontId="9" fillId="0" borderId="1" xfId="0" applyFont="1" applyBorder="1" applyAlignment="1">
      <alignment vertical="center" wrapText="1"/>
    </xf>
    <xf numFmtId="0" fontId="10" fillId="9" borderId="1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G9" sqref="G9"/>
    </sheetView>
  </sheetViews>
  <sheetFormatPr baseColWidth="10" defaultColWidth="8.83203125" defaultRowHeight="17"/>
  <cols>
    <col min="1" max="1" width="32" customWidth="1"/>
    <col min="2" max="2" width="14" customWidth="1"/>
    <col min="3" max="3" width="13" customWidth="1"/>
    <col min="4" max="4" width="14" customWidth="1"/>
    <col min="5" max="5" width="15" customWidth="1"/>
    <col min="6" max="6" width="15.6640625" bestFit="1" customWidth="1"/>
    <col min="7" max="7" width="14" customWidth="1"/>
    <col min="8" max="8" width="18" customWidth="1"/>
    <col min="9" max="9" width="40.33203125" bestFit="1" customWidth="1"/>
    <col min="10" max="10" width="29.83203125" bestFit="1" customWidth="1"/>
  </cols>
  <sheetData>
    <row r="1" spans="1:10" ht="22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3" spans="1:10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8">
      <c r="A4" s="1" t="s">
        <v>2</v>
      </c>
      <c r="B4" s="2">
        <v>1550</v>
      </c>
      <c r="C4" s="32" t="s">
        <v>3</v>
      </c>
      <c r="J4" s="31"/>
    </row>
    <row r="5" spans="1:10" ht="18">
      <c r="A5" s="1" t="s">
        <v>4</v>
      </c>
      <c r="B5" s="3" t="s">
        <v>5</v>
      </c>
      <c r="J5" s="31"/>
    </row>
    <row r="7" spans="1:10">
      <c r="A7" s="28" t="s">
        <v>6</v>
      </c>
      <c r="B7" s="27"/>
      <c r="C7" s="27"/>
      <c r="D7" s="27"/>
      <c r="E7" s="27"/>
      <c r="F7" s="27"/>
      <c r="G7" s="27"/>
      <c r="H7" s="27"/>
      <c r="I7" s="27"/>
      <c r="J7" s="27"/>
    </row>
    <row r="8" spans="1:10" ht="18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/>
      <c r="G8" s="5"/>
      <c r="H8" s="5"/>
      <c r="I8" s="5" t="s">
        <v>12</v>
      </c>
      <c r="J8" s="5" t="s">
        <v>13</v>
      </c>
    </row>
    <row r="9" spans="1:10" ht="48">
      <c r="A9" s="1" t="s">
        <v>14</v>
      </c>
      <c r="B9" s="3">
        <v>20</v>
      </c>
      <c r="C9" s="3">
        <v>2</v>
      </c>
      <c r="D9" s="6">
        <f>B9*C9</f>
        <v>40</v>
      </c>
      <c r="E9" s="2">
        <f>D9*$B$4</f>
        <v>62000</v>
      </c>
      <c r="F9" s="19"/>
      <c r="G9" s="19"/>
      <c r="H9" s="19"/>
      <c r="I9" s="18" t="s">
        <v>15</v>
      </c>
      <c r="J9" s="16" t="s">
        <v>16</v>
      </c>
    </row>
    <row r="10" spans="1:10" ht="48">
      <c r="A10" s="1" t="s">
        <v>17</v>
      </c>
      <c r="B10" s="3">
        <v>20</v>
      </c>
      <c r="C10" s="3">
        <v>1</v>
      </c>
      <c r="D10" s="6">
        <f>B10*C10</f>
        <v>20</v>
      </c>
      <c r="E10" s="2">
        <f>D10*$B$4</f>
        <v>31000</v>
      </c>
      <c r="F10" s="19"/>
      <c r="G10" s="19"/>
      <c r="H10" s="19"/>
      <c r="I10" s="18" t="s">
        <v>18</v>
      </c>
      <c r="J10" s="16" t="s">
        <v>19</v>
      </c>
    </row>
    <row r="11" spans="1:10" ht="48">
      <c r="A11" s="1" t="s">
        <v>20</v>
      </c>
      <c r="B11" s="3">
        <v>30</v>
      </c>
      <c r="C11" s="3">
        <v>1</v>
      </c>
      <c r="D11" s="6">
        <v>100</v>
      </c>
      <c r="E11" s="2">
        <f>D11*$B$4</f>
        <v>155000</v>
      </c>
      <c r="F11" s="19"/>
      <c r="G11" s="19"/>
      <c r="H11" s="19"/>
      <c r="I11" s="23" t="s">
        <v>68</v>
      </c>
      <c r="J11" s="16" t="s">
        <v>21</v>
      </c>
    </row>
    <row r="12" spans="1:10" ht="48">
      <c r="A12" s="1" t="s">
        <v>22</v>
      </c>
      <c r="B12" s="3">
        <v>20</v>
      </c>
      <c r="C12" s="3">
        <v>6</v>
      </c>
      <c r="D12" s="6">
        <f>B12*C12</f>
        <v>120</v>
      </c>
      <c r="E12" s="2">
        <f>D12*$B$4</f>
        <v>186000</v>
      </c>
      <c r="F12" s="19"/>
      <c r="G12" s="19"/>
      <c r="H12" s="19"/>
      <c r="I12" s="18" t="s">
        <v>23</v>
      </c>
      <c r="J12" s="16" t="s">
        <v>24</v>
      </c>
    </row>
    <row r="13" spans="1:10" ht="18">
      <c r="A13" s="7" t="s">
        <v>25</v>
      </c>
      <c r="B13" s="8"/>
      <c r="C13" s="8"/>
      <c r="D13" s="9">
        <f>SUM(D9:D12)</f>
        <v>280</v>
      </c>
      <c r="E13" s="10">
        <f>D13*$B$4</f>
        <v>434000</v>
      </c>
      <c r="F13" s="8"/>
      <c r="G13" s="8"/>
      <c r="H13" s="8"/>
      <c r="I13" s="11"/>
      <c r="J13" s="11"/>
    </row>
    <row r="15" spans="1:10">
      <c r="A15" s="28" t="s">
        <v>26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ht="18">
      <c r="A16" s="5" t="s">
        <v>7</v>
      </c>
      <c r="B16" s="5" t="s">
        <v>27</v>
      </c>
      <c r="C16" s="5" t="s">
        <v>28</v>
      </c>
      <c r="D16" s="5" t="s">
        <v>29</v>
      </c>
      <c r="E16" s="5" t="s">
        <v>30</v>
      </c>
      <c r="F16" s="5" t="s">
        <v>31</v>
      </c>
      <c r="G16" s="5" t="s">
        <v>10</v>
      </c>
      <c r="H16" s="5" t="s">
        <v>11</v>
      </c>
      <c r="I16" s="5"/>
      <c r="J16" s="5" t="s">
        <v>13</v>
      </c>
    </row>
    <row r="17" spans="1:10" ht="36">
      <c r="A17" s="1" t="s">
        <v>32</v>
      </c>
      <c r="B17" s="3">
        <v>350</v>
      </c>
      <c r="C17" s="3">
        <v>2000</v>
      </c>
      <c r="D17" s="3">
        <v>600</v>
      </c>
      <c r="E17" s="3">
        <v>3</v>
      </c>
      <c r="F17" s="3">
        <v>15</v>
      </c>
      <c r="G17" s="6">
        <f>B17*(C17*E17+D17*F17)/1000000</f>
        <v>5.25</v>
      </c>
      <c r="H17" s="2">
        <f>G17*$B$4</f>
        <v>8137.5</v>
      </c>
    </row>
    <row r="18" spans="1:10" ht="48">
      <c r="A18" s="7" t="s">
        <v>34</v>
      </c>
      <c r="B18" s="8"/>
      <c r="C18" s="8"/>
      <c r="D18" s="8"/>
      <c r="E18" s="8"/>
      <c r="F18" s="8"/>
      <c r="G18" s="9">
        <f>SUM(G17:G17)</f>
        <v>5.25</v>
      </c>
      <c r="H18" s="10">
        <f>G18*$B$4</f>
        <v>8137.5</v>
      </c>
      <c r="I18" s="24"/>
      <c r="J18" s="25" t="s">
        <v>33</v>
      </c>
    </row>
    <row r="20" spans="1:10">
      <c r="A20" s="28" t="s">
        <v>35</v>
      </c>
      <c r="B20" s="27"/>
      <c r="C20" s="27"/>
      <c r="D20" s="27"/>
      <c r="E20" s="27"/>
      <c r="F20" s="27"/>
      <c r="G20" s="27"/>
      <c r="H20" s="27"/>
      <c r="I20" s="27"/>
      <c r="J20" s="27"/>
    </row>
    <row r="21" spans="1:10" ht="18">
      <c r="A21" s="5" t="s">
        <v>7</v>
      </c>
      <c r="B21" s="5" t="s">
        <v>36</v>
      </c>
      <c r="C21" s="5" t="s">
        <v>37</v>
      </c>
      <c r="D21" s="5" t="s">
        <v>10</v>
      </c>
      <c r="E21" s="5" t="s">
        <v>11</v>
      </c>
      <c r="F21" s="5"/>
      <c r="G21" s="5"/>
      <c r="H21" s="5"/>
      <c r="I21" s="5" t="s">
        <v>12</v>
      </c>
      <c r="J21" s="5" t="s">
        <v>13</v>
      </c>
    </row>
    <row r="22" spans="1:10" ht="48">
      <c r="A22" s="1" t="s">
        <v>38</v>
      </c>
      <c r="B22" s="3">
        <v>120</v>
      </c>
      <c r="C22" s="3">
        <v>4.2000000000000003E-2</v>
      </c>
      <c r="D22" s="6">
        <f>B22*C22</f>
        <v>5.04</v>
      </c>
      <c r="E22" s="2">
        <f>D22*$B$4</f>
        <v>7812</v>
      </c>
      <c r="F22" s="19"/>
      <c r="G22" s="19"/>
      <c r="H22" s="19"/>
      <c r="I22" s="17" t="s">
        <v>39</v>
      </c>
      <c r="J22" s="4" t="s">
        <v>40</v>
      </c>
    </row>
    <row r="23" spans="1:10" ht="18">
      <c r="A23" s="7" t="s">
        <v>41</v>
      </c>
      <c r="B23" s="8"/>
      <c r="C23" s="8"/>
      <c r="D23" s="9">
        <f>SUM(D22:D22)</f>
        <v>5.04</v>
      </c>
      <c r="E23" s="10">
        <f>D23*$B$4</f>
        <v>7812</v>
      </c>
      <c r="F23" s="20"/>
      <c r="G23" s="20"/>
      <c r="H23" s="20"/>
      <c r="I23" s="11"/>
      <c r="J23" s="11"/>
    </row>
    <row r="25" spans="1:10">
      <c r="A25" s="28" t="s">
        <v>42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>
      <c r="A26" s="29" t="s">
        <v>43</v>
      </c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18">
      <c r="A27" s="5" t="s">
        <v>7</v>
      </c>
      <c r="B27" s="5" t="s">
        <v>44</v>
      </c>
      <c r="C27" s="5" t="s">
        <v>45</v>
      </c>
      <c r="D27" s="5" t="s">
        <v>46</v>
      </c>
      <c r="E27" s="5" t="s">
        <v>47</v>
      </c>
      <c r="F27" s="5" t="s">
        <v>10</v>
      </c>
      <c r="G27" s="5" t="s">
        <v>11</v>
      </c>
      <c r="H27" s="5"/>
      <c r="I27" s="5" t="s">
        <v>12</v>
      </c>
      <c r="J27" s="5" t="s">
        <v>13</v>
      </c>
    </row>
    <row r="28" spans="1:10" ht="48">
      <c r="A28" s="1" t="s">
        <v>48</v>
      </c>
      <c r="B28" s="3">
        <v>0.11</v>
      </c>
      <c r="C28" s="3">
        <v>8</v>
      </c>
      <c r="D28" s="3">
        <v>5</v>
      </c>
      <c r="E28" s="3">
        <f>C28*D28</f>
        <v>40</v>
      </c>
      <c r="F28" s="6">
        <f>B28*E28</f>
        <v>4.4000000000000004</v>
      </c>
      <c r="G28" s="2">
        <f>F28*$B$4</f>
        <v>6820.0000000000009</v>
      </c>
      <c r="H28" s="19"/>
      <c r="I28" s="17" t="s">
        <v>49</v>
      </c>
      <c r="J28" s="4" t="s">
        <v>50</v>
      </c>
    </row>
    <row r="29" spans="1:10" ht="48">
      <c r="A29" s="1" t="s">
        <v>51</v>
      </c>
      <c r="B29" s="3">
        <v>0.3034</v>
      </c>
      <c r="C29" s="3">
        <v>10</v>
      </c>
      <c r="D29" s="3">
        <v>5</v>
      </c>
      <c r="E29" s="3">
        <f>C29*D29</f>
        <v>50</v>
      </c>
      <c r="F29" s="6">
        <f>B29*E29</f>
        <v>15.17</v>
      </c>
      <c r="G29" s="2">
        <f>F29*$B$4</f>
        <v>23513.5</v>
      </c>
      <c r="H29" s="19"/>
      <c r="I29" s="17" t="s">
        <v>52</v>
      </c>
      <c r="J29" s="4" t="s">
        <v>53</v>
      </c>
    </row>
    <row r="30" spans="1:10" ht="48">
      <c r="A30" s="1" t="s">
        <v>54</v>
      </c>
      <c r="B30" s="3">
        <v>0.3034</v>
      </c>
      <c r="C30" s="3">
        <v>6</v>
      </c>
      <c r="D30" s="3">
        <v>10</v>
      </c>
      <c r="E30" s="3">
        <f>C30*D30</f>
        <v>60</v>
      </c>
      <c r="F30" s="6">
        <f>B30*E30</f>
        <v>18.204000000000001</v>
      </c>
      <c r="G30" s="2">
        <f>F30*$B$4</f>
        <v>28216.2</v>
      </c>
      <c r="H30" s="19"/>
      <c r="I30" s="17" t="s">
        <v>55</v>
      </c>
      <c r="J30" s="4" t="s">
        <v>56</v>
      </c>
    </row>
    <row r="31" spans="1:10" ht="48">
      <c r="A31" s="1" t="s">
        <v>57</v>
      </c>
      <c r="B31" s="3">
        <v>0.3034</v>
      </c>
      <c r="C31" s="3">
        <v>7</v>
      </c>
      <c r="D31" s="3">
        <v>15</v>
      </c>
      <c r="E31" s="3">
        <f>C31*D31</f>
        <v>105</v>
      </c>
      <c r="F31" s="6">
        <f>B31*E31</f>
        <v>31.856999999999999</v>
      </c>
      <c r="G31" s="2">
        <f>F31*$B$4</f>
        <v>49378.35</v>
      </c>
      <c r="H31" s="19"/>
      <c r="I31" s="17" t="s">
        <v>58</v>
      </c>
      <c r="J31" s="4" t="s">
        <v>59</v>
      </c>
    </row>
    <row r="32" spans="1:10" ht="18">
      <c r="A32" s="7" t="s">
        <v>60</v>
      </c>
      <c r="B32" s="8"/>
      <c r="C32" s="8"/>
      <c r="D32" s="8"/>
      <c r="E32" s="8"/>
      <c r="F32" s="9">
        <f>SUM(F28:F31)</f>
        <v>69.631</v>
      </c>
      <c r="G32" s="10">
        <f>F32*$B$4</f>
        <v>107928.05</v>
      </c>
      <c r="H32" s="20"/>
      <c r="I32" s="20"/>
      <c r="J32" s="11"/>
    </row>
    <row r="33" spans="1:10">
      <c r="A33" s="30" t="s">
        <v>61</v>
      </c>
      <c r="B33" s="27"/>
      <c r="C33" s="27"/>
      <c r="D33" s="27"/>
      <c r="E33" s="27"/>
      <c r="F33" s="27"/>
      <c r="G33" s="27"/>
      <c r="H33" s="27"/>
      <c r="I33" s="27"/>
      <c r="J33" s="27"/>
    </row>
    <row r="35" spans="1:10">
      <c r="A35" s="28" t="s">
        <v>62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ht="18">
      <c r="A36" s="5" t="s">
        <v>7</v>
      </c>
      <c r="B36" s="5" t="s">
        <v>63</v>
      </c>
      <c r="C36" s="5" t="s">
        <v>64</v>
      </c>
      <c r="D36" s="5"/>
      <c r="E36" s="5"/>
      <c r="F36" s="5"/>
      <c r="G36" s="5"/>
      <c r="H36" s="5"/>
      <c r="I36" s="5"/>
      <c r="J36" s="5"/>
    </row>
    <row r="37" spans="1:10" ht="18">
      <c r="A37" s="1" t="s">
        <v>65</v>
      </c>
      <c r="B37" s="21">
        <f>D13</f>
        <v>280</v>
      </c>
      <c r="C37" s="22">
        <f>E13</f>
        <v>434000</v>
      </c>
      <c r="D37" s="19"/>
      <c r="E37" s="19"/>
      <c r="F37" s="19"/>
      <c r="G37" s="19"/>
      <c r="H37" s="19"/>
      <c r="I37" s="19"/>
      <c r="J37" s="4"/>
    </row>
    <row r="38" spans="1:10" ht="18">
      <c r="A38" s="1" t="s">
        <v>66</v>
      </c>
      <c r="B38" s="21">
        <f>G18+D23+F32</f>
        <v>79.920999999999992</v>
      </c>
      <c r="C38" s="22">
        <f>B38*$B$4</f>
        <v>123877.54999999999</v>
      </c>
      <c r="D38" s="19"/>
      <c r="E38" s="19"/>
      <c r="F38" s="19"/>
      <c r="G38" s="19"/>
      <c r="H38" s="19"/>
      <c r="I38" s="19"/>
      <c r="J38" s="4"/>
    </row>
    <row r="39" spans="1:10" ht="18" customHeight="1">
      <c r="A39" s="12" t="s">
        <v>67</v>
      </c>
      <c r="B39" s="13">
        <f>D13+B38</f>
        <v>359.92099999999999</v>
      </c>
      <c r="C39" s="14">
        <f>B39*$B$4</f>
        <v>557877.54999999993</v>
      </c>
      <c r="D39" s="15"/>
      <c r="E39" s="15"/>
      <c r="F39" s="15"/>
      <c r="G39" s="15"/>
      <c r="H39" s="15"/>
      <c r="I39" s="15"/>
      <c r="J39" s="15"/>
    </row>
  </sheetData>
  <mergeCells count="9">
    <mergeCell ref="A1:J1"/>
    <mergeCell ref="A3:J3"/>
    <mergeCell ref="A35:J35"/>
    <mergeCell ref="A20:J20"/>
    <mergeCell ref="A15:J15"/>
    <mergeCell ref="A7:J7"/>
    <mergeCell ref="A25:J25"/>
    <mergeCell ref="A26:J26"/>
    <mergeCell ref="A33:J3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예상비용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2026-07-01T04:16:01Z</dcterms:created>
  <dcterms:modified xsi:type="dcterms:W3CDTF">2026-07-01T04:28:07Z</dcterms:modified>
</cp:coreProperties>
</file>